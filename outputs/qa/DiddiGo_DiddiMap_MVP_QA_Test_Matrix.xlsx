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7571b3595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470beb20a7dc448a"/>
    <x:sheet xmlns:r="http://schemas.openxmlformats.org/officeDocument/2006/relationships" name="Summary" sheetId="2" r:id="Rd0e592f56a77423f"/>
    <x:sheet xmlns:r="http://schemas.openxmlformats.org/officeDocument/2006/relationships" name="Exit Criteria" sheetId="3" r:id="Rcacf20fed606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CBD5E1"/>
      </x:patternFill>
    </x:fill>
    <x:fill>
      <x:patternFill patternType="solid">
        <x:fgColor rgb="FF1E293B"/>
      </x:patternFill>
    </x:fill>
  </x:fills>
  <x:borders count="4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2b646319e4fe3" /><Relationship Type="http://schemas.openxmlformats.org/officeDocument/2006/relationships/theme" Target="/xl/theme/theme1.xml" Id="R4e1e0e7a332d441d" /><Relationship Type="http://schemas.openxmlformats.org/officeDocument/2006/relationships/sharedStrings" Target="/xl/sharedStrings.xml" Id="R58bb9641824945ee" /><Relationship Type="http://schemas.openxmlformats.org/officeDocument/2006/relationships/worksheet" Target="/xl/worksheets/sheet1.xml" Id="R470beb20a7dc448a" /><Relationship Type="http://schemas.openxmlformats.org/officeDocument/2006/relationships/worksheet" Target="/xl/worksheets/sheet2.xml" Id="Rd0e592f56a77423f" /><Relationship Type="http://schemas.openxmlformats.org/officeDocument/2006/relationships/worksheet" Target="/xl/worksheets/sheet3.xml" Id="Rcacf20fed606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7.880000114440918" hidden="0" customWidth="1"/>
    <x:col min="3" max="3" width="13.25" hidden="0" customWidth="1"/>
    <x:col min="4" max="4" width="28" hidden="0" customWidth="1"/>
    <x:col min="5" max="5" width="34" hidden="0" customWidth="1"/>
    <x:col min="6" max="6" width="32" hidden="0" customWidth="1"/>
    <x:col min="7" max="7" width="32" hidden="0" customWidth="1"/>
    <x:col min="8" max="8" width="32" hidden="0" customWidth="1"/>
    <x:col min="9" max="9" width="6.630000114440918" hidden="0" customWidth="1"/>
    <x:col min="10" max="10" width="6.75" hidden="0" customWidth="1"/>
    <x:col min="11" max="11" width="6" hidden="0" customWidth="1"/>
    <x:col min="12" max="12" width="7.25" hidden="0" customWidth="1"/>
    <x:col min="13" max="13" width="5.130000114440918" hidden="0" customWidth="1"/>
    <x:col min="14" max="14" width="7.75" hidden="0" customWidth="1"/>
    <x:col min="15" max="15" width="9.130000114440918" hidden="0" customWidth="1"/>
    <x:col min="16" max="16" width="4.380000114440918" hidden="0" customWidth="1"/>
    <x:col min="17" max="17" width="26" hidden="0" customWidth="1"/>
    <x:col min="18" max="18" width="26" hidden="0" customWidth="1"/>
  </x:cols>
  <x:sheetData>
    <x:row r="1">
      <x:c r="A1" s="30" t="str">
        <x:v>Test ID</x:v>
      </x:c>
      <x:c r="B1" s="30" t="str">
        <x:v>System</x:v>
      </x:c>
      <x:c r="C1" s="30" t="str">
        <x:v>Persona</x:v>
      </x:c>
      <x:c r="D1" s="30" t="str">
        <x:v>Scenario</x:v>
      </x:c>
      <x:c r="E1" s="30" t="str">
        <x:v>Automated Bruno Request</x:v>
      </x:c>
      <x:c r="F1" s="30" t="str">
        <x:v>Preconditions</x:v>
      </x:c>
      <x:c r="G1" s="30" t="str">
        <x:v>Expected Result</x:v>
      </x:c>
      <x:c r="H1" s="30" t="str">
        <x:v>Actual Result</x:v>
      </x:c>
      <x:c r="I1" s="30" t="str">
        <x:v>Status</x:v>
      </x:c>
      <x:c r="J1" s="30" t="str">
        <x:v>Severity</x:v>
      </x:c>
      <x:c r="K1" s="30" t="str">
        <x:v>Ride ID</x:v>
      </x:c>
      <x:c r="L1" s="30" t="str">
        <x:v>Driver ID</x:v>
      </x:c>
      <x:c r="M1" s="30" t="str">
        <x:v>Tester</x:v>
      </x:c>
      <x:c r="N1" s="30" t="str">
        <x:v>Device</x:v>
      </x:c>
      <x:c r="O1" s="30" t="str">
        <x:v>Date</x:v>
      </x:c>
      <x:c r="P1" s="30" t="str">
        <x:v>Time</x:v>
      </x:c>
      <x:c r="Q1" s="30" t="str">
        <x:v>Evidence Link</x:v>
      </x:c>
      <x:c r="R1" s="30" t="str">
        <x:v>Notes</x:v>
      </x:c>
    </x:row>
    <x:row r="2">
      <x:c r="A2" s="26" t="str">
        <x:v>MAP-001</x:v>
      </x:c>
      <x:c r="B2" s="26" t="str">
        <x:v>DiddiMap</x:v>
      </x:c>
      <x:c r="C2" s="26" t="str">
        <x:v>Developer</x:v>
      </x:c>
      <x:c r="D2" s="26" t="str">
        <x:v>Health check</x:v>
      </x:c>
      <x:c r="E2" s="26" t="str">
        <x:v>09-DiddiMap-MVP/01 DiddiMap Health</x:v>
      </x:c>
      <x:c r="F2" s="26" t="str">
        <x:v>DiddiMap staging deployed</x:v>
      </x:c>
      <x:c r="G2" s="26" t="str">
        <x:v>HTTP 200, status ok</x:v>
      </x:c>
      <x:c r="H2" s="26" t="str">
        <x:v>200 OK, 351 ms</x:v>
      </x:c>
      <x:c r="I2" s="26" t="str">
        <x:v>Pass</x:v>
      </x:c>
      <x:c r="J2" s="26" t="str"/>
      <x:c r="K2" s="26" t="str"/>
      <x:c r="L2" s="26" t="str"/>
      <x:c r="M2" s="26" t="str">
        <x:v>Codex</x:v>
      </x:c>
      <x:c r="N2" s="26" t="str">
        <x:v>Bruno CLI</x:v>
      </x:c>
      <x:c r="O2" s="26" t="str">
        <x:v>2026-08-28</x:v>
      </x:c>
      <x:c r="P2" s="26" t="str"/>
      <x:c r="Q2" s="26" t="str"/>
      <x:c r="R2" s="26" t="str"/>
    </x:row>
    <x:row r="3">
      <x:c r="A3" s="26" t="str">
        <x:v>MAP-002</x:v>
      </x:c>
      <x:c r="B3" s="26" t="str">
        <x:v>DiddiMap</x:v>
      </x:c>
      <x:c r="C3" s="26" t="str">
        <x:v>Developer</x:v>
      </x:c>
      <x:c r="D3" s="26" t="str">
        <x:v>Database health</x:v>
      </x:c>
      <x:c r="E3" s="26" t="str">
        <x:v>09-DiddiMap-MVP/02 DiddiMap DB Health</x:v>
      </x:c>
      <x:c r="F3" s="26" t="str">
        <x:v>PostGIS reachable</x:v>
      </x:c>
      <x:c r="G3" s="26" t="str">
        <x:v>HTTP 200, database available</x:v>
      </x:c>
      <x:c r="H3" s="26" t="str">
        <x:v>200 OK, 461 ms</x:v>
      </x:c>
      <x:c r="I3" s="26" t="str">
        <x:v>Pass</x:v>
      </x:c>
      <x:c r="J3" s="26" t="str"/>
      <x:c r="K3" s="26" t="str"/>
      <x:c r="L3" s="26" t="str"/>
      <x:c r="M3" s="26" t="str">
        <x:v>Codex</x:v>
      </x:c>
      <x:c r="N3" s="26" t="str">
        <x:v>Bruno CLI</x:v>
      </x:c>
      <x:c r="O3" s="26" t="str">
        <x:v>2026-08-28</x:v>
      </x:c>
      <x:c r="P3" s="26" t="str"/>
      <x:c r="Q3" s="26" t="str"/>
      <x:c r="R3" s="26" t="str"/>
    </x:row>
    <x:row r="4">
      <x:c r="A4" s="26" t="str">
        <x:v>MAP-003</x:v>
      </x:c>
      <x:c r="B4" s="26" t="str">
        <x:v>DiddiMap</x:v>
      </x:c>
      <x:c r="C4" s="26" t="str">
        <x:v>Developer</x:v>
      </x:c>
      <x:c r="D4" s="26" t="str">
        <x:v>Autocomplete Plateau with bias</x:v>
      </x:c>
      <x:c r="E4" s="26" t="str">
        <x:v>09-DiddiMap-MVP/03 Autocomplete Plateau</x:v>
      </x:c>
      <x:c r="F4" s="26" t="str">
        <x:v>DiddiMap data loaded</x:v>
      </x:c>
      <x:c r="G4" s="26" t="str">
        <x:v>HTTP 200, results array, no 500</x:v>
      </x:c>
      <x:c r="H4" s="26" t="str">
        <x:v>200 OK, 611 ms</x:v>
      </x:c>
      <x:c r="I4" s="26" t="str">
        <x:v>Pass</x:v>
      </x:c>
      <x:c r="J4" s="26" t="str"/>
      <x:c r="K4" s="26" t="str"/>
      <x:c r="L4" s="26" t="str"/>
      <x:c r="M4" s="26" t="str">
        <x:v>Codex</x:v>
      </x:c>
      <x:c r="N4" s="26" t="str">
        <x:v>Bruno CLI</x:v>
      </x:c>
      <x:c r="O4" s="26" t="str">
        <x:v>2026-08-28</x:v>
      </x:c>
      <x:c r="P4" s="26" t="str"/>
      <x:c r="Q4" s="26" t="str"/>
      <x:c r="R4" s="26" t="str"/>
    </x:row>
    <x:row r="5">
      <x:c r="A5" s="26" t="str">
        <x:v>MAP-004</x:v>
      </x:c>
      <x:c r="B5" s="26" t="str">
        <x:v>DiddiMap</x:v>
      </x:c>
      <x:c r="C5" s="26" t="str">
        <x:v>Developer</x:v>
      </x:c>
      <x:c r="D5" s="26" t="str">
        <x:v>Search Anador with bias</x:v>
      </x:c>
      <x:c r="E5" s="26" t="str">
        <x:v>09-DiddiMap-MVP/04 Geocoding Search Anador</x:v>
      </x:c>
      <x:c r="F5" s="26" t="str">
        <x:v>DiddiMap data loaded</x:v>
      </x:c>
      <x:c r="G5" s="26" t="str">
        <x:v>HTTP 200, list candidates</x:v>
      </x:c>
      <x:c r="H5" s="26" t="str">
        <x:v>200 OK, 622 ms</x:v>
      </x:c>
      <x:c r="I5" s="26" t="str">
        <x:v>Pass</x:v>
      </x:c>
      <x:c r="J5" s="26" t="str"/>
      <x:c r="K5" s="26" t="str"/>
      <x:c r="L5" s="26" t="str"/>
      <x:c r="M5" s="26" t="str">
        <x:v>Codex</x:v>
      </x:c>
      <x:c r="N5" s="26" t="str">
        <x:v>Bruno CLI</x:v>
      </x:c>
      <x:c r="O5" s="26" t="str">
        <x:v>2026-08-28</x:v>
      </x:c>
      <x:c r="P5" s="26" t="str"/>
      <x:c r="Q5" s="26" t="str"/>
      <x:c r="R5" s="26" t="str"/>
    </x:row>
    <x:row r="6">
      <x:c r="A6" s="26" t="str">
        <x:v>MAP-005</x:v>
      </x:c>
      <x:c r="B6" s="26" t="str">
        <x:v>DiddiMap</x:v>
      </x:c>
      <x:c r="C6" s="26" t="str">
        <x:v>Developer</x:v>
      </x:c>
      <x:c r="D6" s="26" t="str">
        <x:v>Route Yopougon to Plateau</x:v>
      </x:c>
      <x:c r="E6" s="26" t="str">
        <x:v>09-DiddiMap-MVP/05 Route Yopougon To Plateau</x:v>
      </x:c>
      <x:c r="F6" s="26" t="str">
        <x:v>OSRM available</x:v>
      </x:c>
      <x:c r="G6" s="26" t="str">
        <x:v>HTTP 200, LineString, plausible distance/duration</x:v>
      </x:c>
      <x:c r="H6" s="26" t="str">
        <x:v>200 OK, 420 ms</x:v>
      </x:c>
      <x:c r="I6" s="26" t="str">
        <x:v>Pass</x:v>
      </x:c>
      <x:c r="J6" s="26" t="str"/>
      <x:c r="K6" s="26" t="str"/>
      <x:c r="L6" s="26" t="str"/>
      <x:c r="M6" s="26" t="str">
        <x:v>Codex</x:v>
      </x:c>
      <x:c r="N6" s="26" t="str">
        <x:v>Bruno CLI</x:v>
      </x:c>
      <x:c r="O6" s="26" t="str">
        <x:v>2026-08-28</x:v>
      </x:c>
      <x:c r="P6" s="26" t="str"/>
      <x:c r="Q6" s="26" t="str"/>
      <x:c r="R6" s="26" t="str"/>
    </x:row>
    <x:row r="7">
      <x:c r="A7" s="26" t="str">
        <x:v>MAP-006</x:v>
      </x:c>
      <x:c r="B7" s="26" t="str">
        <x:v>DiddiMap</x:v>
      </x:c>
      <x:c r="C7" s="26" t="str">
        <x:v>Developer</x:v>
      </x:c>
      <x:c r="D7" s="26" t="str">
        <x:v>Route proposals detail</x:v>
      </x:c>
      <x:c r="E7" s="26" t="str">
        <x:v>09-DiddiMap-MVP/06 Route Proposals Detail</x:v>
      </x:c>
      <x:c r="F7" s="26" t="str">
        <x:v>OSRM and enrichment available</x:v>
      </x:c>
      <x:c r="G7" s="26" t="str">
        <x:v>HTTP 200, proposals with score breakdown</x:v>
      </x:c>
      <x:c r="H7" s="26" t="str">
        <x:v>200 OK, 2730 ms</x:v>
      </x:c>
      <x:c r="I7" s="26" t="str">
        <x:v>Pass</x:v>
      </x:c>
      <x:c r="J7" s="26" t="str"/>
      <x:c r="K7" s="26" t="str"/>
      <x:c r="L7" s="26" t="str"/>
      <x:c r="M7" s="26" t="str">
        <x:v>Codex</x:v>
      </x:c>
      <x:c r="N7" s="26" t="str">
        <x:v>Bruno CLI</x:v>
      </x:c>
      <x:c r="O7" s="26" t="str">
        <x:v>2026-08-28</x:v>
      </x:c>
      <x:c r="P7" s="26" t="str"/>
      <x:c r="Q7" s="26" t="str"/>
      <x:c r="R7" s="26" t="str"/>
    </x:row>
    <x:row r="8">
      <x:c r="A8" s="26" t="str">
        <x:v>MAP-007</x:v>
      </x:c>
      <x:c r="B8" s="26" t="str">
        <x:v>DiddiMap</x:v>
      </x:c>
      <x:c r="C8" s="26" t="str">
        <x:v>Developer</x:v>
      </x:c>
      <x:c r="D8" s="26" t="str">
        <x:v>Road search</x:v>
      </x:c>
      <x:c r="E8" s="26" t="str">
        <x:v>09-DiddiMap-MVP/07 Roads Search</x:v>
      </x:c>
      <x:c r="F8" s="26" t="str">
        <x:v>DiddiMap data loaded</x:v>
      </x:c>
      <x:c r="G8" s="26" t="str">
        <x:v>HTTP 200, no crash</x:v>
      </x:c>
      <x:c r="H8" s="26" t="str">
        <x:v>200 OK, 1146 ms</x:v>
      </x:c>
      <x:c r="I8" s="26" t="str">
        <x:v>Pass</x:v>
      </x:c>
      <x:c r="J8" s="26" t="str"/>
      <x:c r="K8" s="26" t="str"/>
      <x:c r="L8" s="26" t="str"/>
      <x:c r="M8" s="26" t="str">
        <x:v>Codex</x:v>
      </x:c>
      <x:c r="N8" s="26" t="str">
        <x:v>Bruno CLI</x:v>
      </x:c>
      <x:c r="O8" s="26" t="str">
        <x:v>2026-08-28</x:v>
      </x:c>
      <x:c r="P8" s="26" t="str"/>
      <x:c r="Q8" s="26" t="str"/>
      <x:c r="R8" s="26" t="str"/>
    </x:row>
    <x:row r="9">
      <x:c r="A9" s="26" t="str">
        <x:v>GO-000</x:v>
      </x:c>
      <x:c r="B9" s="26" t="str">
        <x:v>DiddiGo</x:v>
      </x:c>
      <x:c r="C9" s="26" t="str">
        <x:v>Developer</x:v>
      </x:c>
      <x:c r="D9" s="26" t="str">
        <x:v>Health check</x:v>
      </x:c>
      <x:c r="E9" s="26" t="str">
        <x:v>00-Health/01 Health</x:v>
      </x:c>
      <x:c r="F9" s="26" t="str">
        <x:v>DiddiGo staging deployed</x:v>
      </x:c>
      <x:c r="G9" s="26" t="str">
        <x:v>HTTP 200, status ok</x:v>
      </x:c>
      <x:c r="H9" s="26" t="str">
        <x:v>200 OK, 658 ms</x:v>
      </x:c>
      <x:c r="I9" s="26" t="str">
        <x:v>Pass</x:v>
      </x:c>
      <x:c r="J9" s="26" t="str"/>
      <x:c r="K9" s="26" t="str"/>
      <x:c r="L9" s="26" t="str"/>
      <x:c r="M9" s="26" t="str">
        <x:v>Codex</x:v>
      </x:c>
      <x:c r="N9" s="26" t="str">
        <x:v>Bruno CLI</x:v>
      </x:c>
      <x:c r="O9" s="26" t="str">
        <x:v>2026-08-28</x:v>
      </x:c>
      <x:c r="P9" s="26" t="str"/>
      <x:c r="Q9" s="26" t="str"/>
      <x:c r="R9" s="26" t="str"/>
    </x:row>
    <x:row r="10">
      <x:c r="A10" s="26" t="str">
        <x:v>GO-001</x:v>
      </x:c>
      <x:c r="B10" s="26" t="str">
        <x:v>DiddiGo</x:v>
      </x:c>
      <x:c r="C10" s="26" t="str">
        <x:v>Developer</x:v>
      </x:c>
      <x:c r="D10" s="26" t="str">
        <x:v>DiddiGo place search through DiddiMap</x:v>
      </x:c>
      <x:c r="E10" s="26" t="str">
        <x:v>10-MVP-Field-Test/01 DiddiGo Places Through DiddiMap</x:v>
      </x:c>
      <x:c r="F10" s="26" t="str">
        <x:v>Passenger token available</x:v>
      </x:c>
      <x:c r="G10" s="26" t="str">
        <x:v>HTTP 200, label/lat/lng candidates</x:v>
      </x:c>
      <x:c r="H10" s="26" t="str"/>
      <x:c r="I10" s="26" t="str">
        <x:v>Not Run</x:v>
      </x:c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/>
    </x:row>
    <x:row r="11">
      <x:c r="A11" s="26" t="str">
        <x:v>GO-002</x:v>
      </x:c>
      <x:c r="B11" s="26" t="str">
        <x:v>DiddiGo</x:v>
      </x:c>
      <x:c r="C11" s="26" t="str">
        <x:v>Developer</x:v>
      </x:c>
      <x:c r="D11" s="26" t="str">
        <x:v>DiddiGo pricing via DiddiMap</x:v>
      </x:c>
      <x:c r="E11" s="26" t="str">
        <x:v>10-MVP-Field-Test/02 DiddiGo Pricing Yopougon Plateau</x:v>
      </x:c>
      <x:c r="F11" s="26" t="str">
        <x:v>Passenger token available</x:v>
      </x:c>
      <x:c r="G11" s="26" t="str">
        <x:v>HTTP 200, fare/distance/duration/commission</x:v>
      </x:c>
      <x:c r="H11" s="26" t="str"/>
      <x:c r="I11" s="26" t="str">
        <x:v>Not Run</x:v>
      </x:c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</x:row>
    <x:row r="12">
      <x:c r="A12" s="26" t="str">
        <x:v>GO-003</x:v>
      </x:c>
      <x:c r="B12" s="26" t="str">
        <x:v>DiddiGo</x:v>
      </x:c>
      <x:c r="C12" s="26" t="str">
        <x:v>Developer</x:v>
      </x:c>
      <x:c r="D12" s="26" t="str">
        <x:v>DiddiGo creates route-dependent ride</x:v>
      </x:c>
      <x:c r="E12" s="26" t="str">
        <x:v>10-MVP-Field-Test/03 DiddiGo Route Dependent Ride Create</x:v>
      </x:c>
      <x:c r="F12" s="26" t="str">
        <x:v>Passenger token; optional online driver</x:v>
      </x:c>
      <x:c r="G12" s="26" t="str">
        <x:v>HTTP 201 or documented business error</x:v>
      </x:c>
      <x:c r="H12" s="26" t="str"/>
      <x:c r="I12" s="26" t="str">
        <x:v>Not Run</x:v>
      </x:c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/>
    </x:row>
    <x:row r="13">
      <x:c r="A13" s="26" t="str">
        <x:v>GO-004</x:v>
      </x:c>
      <x:c r="B13" s="26" t="str">
        <x:v>DiddiGo</x:v>
      </x:c>
      <x:c r="C13" s="26" t="str">
        <x:v>Developer</x:v>
      </x:c>
      <x:c r="D13" s="26" t="str">
        <x:v>Full happy path</x:v>
      </x:c>
      <x:c r="E13" s="26" t="str">
        <x:v>Existing folders 01 to 08</x:v>
      </x:c>
      <x:c r="F13" s="26" t="str">
        <x:v>Passenger/driver/admin tokens; KYC approved; driver online</x:v>
      </x:c>
      <x:c r="G13" s="26" t="str">
        <x:v>Ride completed and cash collected</x:v>
      </x:c>
      <x:c r="H13" s="26" t="str"/>
      <x:c r="I13" s="26" t="str">
        <x:v>Not Run</x:v>
      </x:c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/>
    </x:row>
    <x:row r="14">
      <x:c r="A14" s="26" t="str">
        <x:v>QA-001</x:v>
      </x:c>
      <x:c r="B14" s="26" t="str">
        <x:v>DiddiMap</x:v>
      </x:c>
      <x:c r="C14" s="26" t="str">
        <x:v>Passenger</x:v>
      </x:c>
      <x:c r="D14" s="26" t="str">
        <x:v>Search common destination in app</x:v>
      </x:c>
      <x:c r="E14" s="26" t="str">
        <x:v>Manual</x:v>
      </x:c>
      <x:c r="F14" s="26" t="str">
        <x:v>Frontend connected to staging</x:v>
      </x:c>
      <x:c r="G14" s="26" t="str">
        <x:v>Useful nearby suggestions in under 1 second</x:v>
      </x:c>
      <x:c r="H14" s="26" t="str"/>
      <x:c r="I14" s="26" t="str">
        <x:v>Not Run</x:v>
      </x:c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/>
    </x:row>
    <x:row r="15">
      <x:c r="A15" s="26" t="str">
        <x:v>QA-002</x:v>
      </x:c>
      <x:c r="B15" s="26" t="str">
        <x:v>DiddiMap</x:v>
      </x:c>
      <x:c r="C15" s="26" t="str">
        <x:v>Passenger</x:v>
      </x:c>
      <x:c r="D15" s="26" t="str">
        <x:v>Search uncommon local landmark</x:v>
      </x:c>
      <x:c r="E15" s="26" t="str">
        <x:v>Manual</x:v>
      </x:c>
      <x:c r="F15" s="26" t="str">
        <x:v>Frontend connected to staging</x:v>
      </x:c>
      <x:c r="G15" s="26" t="str">
        <x:v>Either useful result or clear not-found behavior</x:v>
      </x:c>
      <x:c r="H15" s="26" t="str"/>
      <x:c r="I15" s="26" t="str">
        <x:v>Not Run</x:v>
      </x:c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/>
    </x:row>
    <x:row r="16">
      <x:c r="A16" s="26" t="str">
        <x:v>QA-003</x:v>
      </x:c>
      <x:c r="B16" s="26" t="str">
        <x:v>DiddiMap</x:v>
      </x:c>
      <x:c r="C16" s="26" t="str">
        <x:v>Driver</x:v>
      </x:c>
      <x:c r="D16" s="26" t="str">
        <x:v>Route looks reasonable to local driver</x:v>
      </x:c>
      <x:c r="E16" s="26" t="str">
        <x:v>Manual</x:v>
      </x:c>
      <x:c r="F16" s="26" t="str">
        <x:v>Known Abidjan route selected</x:v>
      </x:c>
      <x:c r="G16" s="26" t="str">
        <x:v>Driver judges route acceptable</x:v>
      </x:c>
      <x:c r="H16" s="26" t="str"/>
      <x:c r="I16" s="26" t="str">
        <x:v>Not Run</x:v>
      </x:c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/>
    </x:row>
    <x:row r="17">
      <x:c r="A17" s="26" t="str">
        <x:v>QA-004</x:v>
      </x:c>
      <x:c r="B17" s="26" t="str">
        <x:v>DiddiGo</x:v>
      </x:c>
      <x:c r="C17" s="26" t="str">
        <x:v>Passenger</x:v>
      </x:c>
      <x:c r="D17" s="26" t="str">
        <x:v>Create ride near online driver</x:v>
      </x:c>
      <x:c r="E17" s="26" t="str">
        <x:v>Manual</x:v>
      </x:c>
      <x:c r="F17" s="26" t="str">
        <x:v>Approved online driver within matching radius</x:v>
      </x:c>
      <x:c r="G17" s="26" t="str">
        <x:v>Ride created and driver offer sent</x:v>
      </x:c>
      <x:c r="H17" s="26" t="str"/>
      <x:c r="I17" s="26" t="str">
        <x:v>Not Run</x:v>
      </x:c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/>
    </x:row>
    <x:row r="18">
      <x:c r="A18" s="26" t="str">
        <x:v>QA-005</x:v>
      </x:c>
      <x:c r="B18" s="26" t="str">
        <x:v>DiddiGo</x:v>
      </x:c>
      <x:c r="C18" s="26" t="str">
        <x:v>Driver</x:v>
      </x:c>
      <x:c r="D18" s="26" t="str">
        <x:v>Receive and accept ride offer</x:v>
      </x:c>
      <x:c r="E18" s="26" t="str">
        <x:v>Manual</x:v>
      </x:c>
      <x:c r="F18" s="26" t="str">
        <x:v>Driver app active with WebSocket</x:v>
      </x:c>
      <x:c r="G18" s="26" t="str">
        <x:v>Offer visible and accept succeeds</x:v>
      </x:c>
      <x:c r="H18" s="26" t="str"/>
      <x:c r="I18" s="26" t="str">
        <x:v>Not Run</x:v>
      </x:c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/>
    </x:row>
    <x:row r="19">
      <x:c r="A19" s="26" t="str">
        <x:v>QA-006</x:v>
      </x:c>
      <x:c r="B19" s="26" t="str">
        <x:v>DiddiGo</x:v>
      </x:c>
      <x:c r="C19" s="26" t="str">
        <x:v>Driver</x:v>
      </x:c>
      <x:c r="D19" s="26" t="str">
        <x:v>Decline offer and reoffer</x:v>
      </x:c>
      <x:c r="E19" s="26" t="str">
        <x:v>Manual</x:v>
      </x:c>
      <x:c r="F19" s="26" t="str">
        <x:v>At least two eligible drivers online</x:v>
      </x:c>
      <x:c r="G19" s="26" t="str">
        <x:v>Next eligible driver receives offer or no_driver_found</x:v>
      </x:c>
      <x:c r="H19" s="26" t="str"/>
      <x:c r="I19" s="26" t="str">
        <x:v>Not Run</x:v>
      </x:c>
      <x:c r="J19" s="26" t="str"/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/>
    </x:row>
    <x:row r="20">
      <x:c r="A20" s="26" t="str">
        <x:v>QA-007</x:v>
      </x:c>
      <x:c r="B20" s="26" t="str">
        <x:v>DiddiGo</x:v>
      </x:c>
      <x:c r="C20" s="26" t="str">
        <x:v>Passenger</x:v>
      </x:c>
      <x:c r="D20" s="26" t="str">
        <x:v>Track driver live location</x:v>
      </x:c>
      <x:c r="E20" s="26" t="str">
        <x:v>Manual</x:v>
      </x:c>
      <x:c r="F20" s="26" t="str">
        <x:v>Driver sends location every 3-5 seconds</x:v>
      </x:c>
      <x:c r="G20" s="26" t="str">
        <x:v>Passenger sees moving driver marker</x:v>
      </x:c>
      <x:c r="H20" s="26" t="str"/>
      <x:c r="I20" s="26" t="str">
        <x:v>Not Run</x:v>
      </x:c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/>
    </x:row>
    <x:row r="21">
      <x:c r="A21" s="26" t="str">
        <x:v>QA-008</x:v>
      </x:c>
      <x:c r="B21" s="26" t="str">
        <x:v>DiddiGo</x:v>
      </x:c>
      <x:c r="C21" s="26" t="str">
        <x:v>Passenger</x:v>
      </x:c>
      <x:c r="D21" s="26" t="str">
        <x:v>Share ride public link</x:v>
      </x:c>
      <x:c r="E21" s="26" t="str">
        <x:v>Manual</x:v>
      </x:c>
      <x:c r="F21" s="26" t="str">
        <x:v>Ride matched/in_progress</x:v>
      </x:c>
      <x:c r="G21" s="26" t="str">
        <x:v>Public link opens without login and exposes no sensitive data</x:v>
      </x:c>
      <x:c r="H21" s="26" t="str"/>
      <x:c r="I21" s="26" t="str">
        <x:v>Not Run</x:v>
      </x:c>
      <x:c r="J21" s="26" t="str"/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/>
    </x:row>
    <x:row r="22">
      <x:c r="A22" s="26" t="str">
        <x:v>QA-009</x:v>
      </x:c>
      <x:c r="B22" s="26" t="str">
        <x:v>DiddiGo</x:v>
      </x:c>
      <x:c r="C22" s="26" t="str">
        <x:v>Passenger/Driver</x:v>
      </x:c>
      <x:c r="D22" s="26" t="str">
        <x:v>Trigger emergency</x:v>
      </x:c>
      <x:c r="E22" s="26" t="str">
        <x:v>Manual</x:v>
      </x:c>
      <x:c r="F22" s="26" t="str">
        <x:v>Active ride</x:v>
      </x:c>
      <x:c r="G22" s="26" t="str">
        <x:v>Emergency status open and backend log visible</x:v>
      </x:c>
      <x:c r="H22" s="26" t="str"/>
      <x:c r="I22" s="26" t="str">
        <x:v>Not Run</x:v>
      </x:c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/>
    </x:row>
    <x:row r="23">
      <x:c r="A23" s="26" t="str">
        <x:v>QA-010</x:v>
      </x:c>
      <x:c r="B23" s="26" t="str">
        <x:v>DiddiGo</x:v>
      </x:c>
      <x:c r="C23" s="26" t="str">
        <x:v>Driver</x:v>
      </x:c>
      <x:c r="D23" s="26" t="str">
        <x:v>Complete ride and confirm cash</x:v>
      </x:c>
      <x:c r="E23" s="26" t="str">
        <x:v>Manual</x:v>
      </x:c>
      <x:c r="F23" s="26" t="str">
        <x:v>Ride in_progress</x:v>
      </x:c>
      <x:c r="G23" s="26" t="str">
        <x:v>Ride completed and payment collected</x:v>
      </x:c>
      <x:c r="H23" s="26" t="str"/>
      <x:c r="I23" s="26" t="str">
        <x:v>Not Run</x:v>
      </x:c>
      <x:c r="J23" s="26" t="str"/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/>
    </x:row>
  </x:sheetData>
  <x:dataValidations count="2">
    <x:dataValidation type="list" sqref="I2:I200">
      <x:formula1>"Not Run,Pass,Fail,Blocked,Needs Review"</x:formula1>
    </x:dataValidation>
    <x:dataValidation type="list" sqref="J2:J200">
      <x:formula1>",P0,P1,P2,P3"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75" hidden="0" customWidth="1"/>
    <x:col min="2" max="2" width="5.1300001144409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DiddiGo + DiddiMap MVP Field Test</x:v>
      </x:c>
    </x:row>
    <x:row r="3">
      <x:c r="A3" s="8" t="str">
        <x:v>Total tests</x:v>
      </x:c>
      <x:c r="B3" s="10" t="n">
        <x:f>COUNTA('Test Matrix'!A2:A200)</x:f>
        <x:v>22</x:v>
      </x:c>
      <x:c r="D3" s="22" t="str">
        <x:v>Wave 1 Goal</x:v>
      </x:c>
      <x:c r="E3" s="18" t="str">
        <x:v>Stabilize the current MVP before advanced PRD features</x:v>
      </x:c>
      <x:c r="F3" s="18" t="str"/>
      <x:c r="G3" s="18" t="str"/>
      <x:c r="H3" s="18" t="str"/>
    </x:row>
    <x:row r="4">
      <x:c r="A4" s="8" t="str">
        <x:v>Pass</x:v>
      </x:c>
      <x:c r="B4" s="10" t="n">
        <x:f>COUNTIF('Test Matrix'!I2:I200,"Pass")</x:f>
        <x:v>8</x:v>
      </x:c>
      <x:c r="D4" s="22" t="str">
        <x:v>Developer tests</x:v>
      </x:c>
      <x:c r="E4" s="18" t="str">
        <x:v>Bruno validates API contracts and integrations</x:v>
      </x:c>
      <x:c r="F4" s="18" t="str"/>
      <x:c r="G4" s="18" t="str"/>
      <x:c r="H4" s="18" t="str"/>
    </x:row>
    <x:row r="5">
      <x:c r="A5" s="8" t="str">
        <x:v>Fail</x:v>
      </x:c>
      <x:c r="B5" s="10" t="n">
        <x:f>COUNTIF('Test Matrix'!I2:I200,"Fail")</x:f>
        <x:v>0</x:v>
      </x:c>
      <x:c r="D5" s="22" t="str">
        <x:v>Human QA</x:v>
      </x:c>
      <x:c r="E5" s="18" t="str">
        <x:v>Testers judge usefulness, UX, and field reality</x:v>
      </x:c>
      <x:c r="F5" s="18" t="str"/>
      <x:c r="G5" s="18" t="str"/>
      <x:c r="H5" s="18" t="str"/>
    </x:row>
    <x:row r="6">
      <x:c r="A6" s="8" t="str">
        <x:v>Blocked</x:v>
      </x:c>
      <x:c r="B6" s="10" t="n">
        <x:f>COUNTIF('Test Matrix'!I2:I200,"Blocked")</x:f>
        <x:v>0</x:v>
      </x:c>
      <x:c r="D6" s="22" t="str">
        <x:v>Critical evidence</x:v>
      </x:c>
      <x:c r="E6" s="18" t="str">
        <x:v>ride_id, driver_id, timestamp, screenshot/log</x:v>
      </x:c>
      <x:c r="F6" s="18" t="str"/>
      <x:c r="G6" s="18" t="str"/>
      <x:c r="H6" s="18" t="str"/>
    </x:row>
    <x:row r="7">
      <x:c r="A7" s="8" t="str">
        <x:v>Needs Review</x:v>
      </x:c>
      <x:c r="B7" s="10" t="n">
        <x:f>COUNTIF('Test Matrix'!I2:I200,"Needs Review")</x:f>
        <x:v>0</x:v>
      </x:c>
      <x:c r="D7" s="22" t="str">
        <x:v>Decision</x:v>
      </x:c>
      <x:c r="E7" s="18" t="str">
        <x:v>Ship pilot only if P0/P1 blockers are closed</x:v>
      </x:c>
      <x:c r="F7" s="18" t="str"/>
      <x:c r="G7" s="18" t="str"/>
      <x:c r="H7" s="18" t="str"/>
    </x:row>
    <x:row r="8">
      <x:c r="A8" s="8" t="str">
        <x:v>Not Run</x:v>
      </x:c>
      <x:c r="B8" s="10" t="n">
        <x:f>COUNTIF('Test Matrix'!I2:I200,"Not Run")</x:f>
        <x:v>14</x:v>
      </x:c>
      <x:c r="D8" s="22" t="str">
        <x:v>Owner</x:v>
      </x:c>
      <x:c r="E8" s="18" t="str">
        <x:v>Backend + Frontend + QA + Field coordinator</x:v>
      </x:c>
      <x:c r="F8" s="18" t="str"/>
      <x:c r="G8" s="18" t="str"/>
      <x:c r="H8" s="18" t="str"/>
    </x:row>
    <x:row r="9">
      <x:c r="A9" s="8" t="str">
        <x:v>Pass rate</x:v>
      </x:c>
      <x:c r="B9" s="12" t="n">
        <x:f>IF(B3=0,0,B4/B3)</x:f>
        <x:v>0.36363636363636365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54" hidden="0" customWidth="1"/>
    <x:col min="3" max="3" width="6.630000114440918" hidden="0" customWidth="1"/>
    <x:col min="4" max="4" width="34" hidden="0" customWidth="1"/>
  </x:cols>
  <x:sheetData>
    <x:row r="1">
      <x:c r="A1" s="30" t="str">
        <x:v>ID</x:v>
      </x:c>
      <x:c r="B1" s="30" t="str">
        <x:v>Exit criterion</x:v>
      </x:c>
      <x:c r="C1" s="30" t="str">
        <x:v>Status</x:v>
      </x:c>
      <x:c r="D1" s="30" t="str">
        <x:v>Notes</x:v>
      </x:c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>
      <x:c r="A2" s="26" t="str">
        <x:v>EC-001</x:v>
      </x:c>
      <x:c r="B2" s="26" t="str">
        <x:v>DiddiMap health and DB health pass</x:v>
      </x:c>
      <x:c r="C2" s="26" t="str">
        <x:v>Not Run</x:v>
      </x:c>
      <x:c r="D2" s="26" t="str"/>
    </x:row>
    <x:row r="3">
      <x:c r="A3" s="26" t="str">
        <x:v>EC-002</x:v>
      </x:c>
      <x:c r="B3" s="26" t="str">
        <x:v>DiddiMap route tests pass for common Abidjan trips</x:v>
      </x:c>
      <x:c r="C3" s="26" t="str">
        <x:v>Not Run</x:v>
      </x:c>
      <x:c r="D3" s="26" t="str"/>
    </x:row>
    <x:row r="4">
      <x:c r="A4" s="26" t="str">
        <x:v>EC-003</x:v>
      </x:c>
      <x:c r="B4" s="26" t="str">
        <x:v>DiddiGo places/pricing can reach DiddiMap</x:v>
      </x:c>
      <x:c r="C4" s="26" t="str">
        <x:v>Not Run</x:v>
      </x:c>
      <x:c r="D4" s="26" t="str"/>
    </x:row>
    <x:row r="5">
      <x:c r="A5" s="26" t="str">
        <x:v>EC-004</x:v>
      </x:c>
      <x:c r="B5" s="26" t="str">
        <x:v>Approved drivers can go online</x:v>
      </x:c>
      <x:c r="C5" s="26" t="str">
        <x:v>Not Run</x:v>
      </x:c>
      <x:c r="D5" s="26" t="str"/>
    </x:row>
    <x:row r="6">
      <x:c r="A6" s="26" t="str">
        <x:v>EC-005</x:v>
      </x:c>
      <x:c r="B6" s="26" t="str">
        <x:v>Nearby eligible driver receives offer</x:v>
      </x:c>
      <x:c r="C6" s="26" t="str">
        <x:v>Not Run</x:v>
      </x:c>
      <x:c r="D6" s="26" t="str"/>
    </x:row>
    <x:row r="7">
      <x:c r="A7" s="26" t="str">
        <x:v>EC-006</x:v>
      </x:c>
      <x:c r="B7" s="26" t="str">
        <x:v>Passenger and driver complete one cash ride</x:v>
      </x:c>
      <x:c r="C7" s="26" t="str">
        <x:v>Not Run</x:v>
      </x:c>
      <x:c r="D7" s="26" t="str"/>
    </x:row>
    <x:row r="8">
      <x:c r="A8" s="26" t="str">
        <x:v>EC-007</x:v>
      </x:c>
      <x:c r="B8" s="26" t="str">
        <x:v>Share link opens without login and hides sensitive data</x:v>
      </x:c>
      <x:c r="C8" s="26" t="str">
        <x:v>Not Run</x:v>
      </x:c>
      <x:c r="D8" s="26" t="str"/>
    </x:row>
    <x:row r="9">
      <x:c r="A9" s="26" t="str">
        <x:v>EC-008</x:v>
      </x:c>
      <x:c r="B9" s="26" t="str">
        <x:v>Emergency event is recorded and visible in logs</x:v>
      </x:c>
      <x:c r="C9" s="26" t="str">
        <x:v>Not Run</x:v>
      </x:c>
      <x:c r="D9" s="26" t="str"/>
    </x:row>
    <x:row r="10">
      <x:c r="A10" s="26" t="str">
        <x:v>EC-009</x:v>
      </x:c>
      <x:c r="B10" s="26" t="str">
        <x:v>No undocumented 500 appears during the core flow</x:v>
      </x:c>
      <x:c r="C10" s="26" t="str">
        <x:v>Not Run</x:v>
      </x:c>
      <x:c r="D10" s="26" t="str"/>
    </x:row>
  </x:sheetData>
  <x:dataValidations count="1">
    <x:dataValidation type="list" sqref="C2:C10">
      <x:formula1>"Not Run,Pass,Fail,Blocked,Needs Review"</x:formula1>
    </x:dataValidation>
  </x:dataValidations>
  <x:pageMargins left="0.7" right="0.7" top="0.75" bottom="0.75" header="0.3" footer="0.3"/>
</x:worksheet>
</file>